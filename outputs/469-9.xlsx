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tabSelected="1" workbookViewId="0">
      <selection activeCell="C2" sqref="C2:C9"/>
    </sheetView>
  </sheetViews>
  <sheetFormatPr baseColWidth="8" defaultRowHeight="15"/>
  <cols>
    <col width="10.7109375" bestFit="1" customWidth="1" min="1" max="1"/>
    <col width="24.5703125" customWidth="1" min="4" max="4"/>
    <col width="18.140625" bestFit="1" customWidth="1" min="5" max="5"/>
    <col width="16.42578125" bestFit="1" customWidth="1" min="7" max="7"/>
  </cols>
  <sheetData>
    <row r="1">
      <c r="A1" t="inlineStr">
        <is>
          <t>Date</t>
        </is>
      </c>
      <c r="B1" t="inlineStr">
        <is>
          <t>SERVICE FEE</t>
        </is>
      </c>
      <c r="C1" t="inlineStr">
        <is>
          <t>Amount</t>
        </is>
      </c>
      <c r="D1" t="inlineStr">
        <is>
          <t>DESCRIPTION</t>
        </is>
      </c>
      <c r="E1" t="inlineStr">
        <is>
          <t>REFERENCE</t>
        </is>
      </c>
      <c r="F1" t="inlineStr">
        <is>
          <t>Balance</t>
        </is>
      </c>
      <c r="G1" t="inlineStr">
        <is>
          <t>CHEQUE NUMBER</t>
        </is>
      </c>
      <c r="H1" t="inlineStr">
        <is>
          <t>Debits</t>
        </is>
      </c>
      <c r="I1" t="inlineStr">
        <is>
          <t>Credits</t>
        </is>
      </c>
    </row>
    <row r="2">
      <c r="A2" s="1" t="n">
        <v>44287</v>
      </c>
      <c r="B2" t="n">
        <v>0</v>
      </c>
      <c r="C2" t="n">
        <v>4543.190000000001</v>
      </c>
      <c r="D2" t="inlineStr">
        <is>
          <t xml:space="preserve"> UWE PMT            </t>
        </is>
      </c>
      <c r="E2" t="inlineStr">
        <is>
          <t xml:space="preserve">UWE               </t>
        </is>
      </c>
      <c r="F2" t="n">
        <v>139001.592</v>
      </c>
      <c r="G2" t="n">
        <v>0</v>
      </c>
      <c r="H2">
        <f>IF(C2="",IF(C2&gt;0,ABS(C2),""),"")</f>
        <v/>
      </c>
      <c r="I2">
        <f>IF(C2="",IF(C2&lt;0,ABS(C2),""),"")</f>
        <v/>
      </c>
    </row>
    <row r="3">
      <c r="A3" s="1" t="n">
        <v>44287</v>
      </c>
      <c r="B3" t="n">
        <v>0</v>
      </c>
      <c r="C3" t="n">
        <v>28723.24333333334</v>
      </c>
      <c r="D3" t="inlineStr">
        <is>
          <t xml:space="preserve"> UWE PMT            LLQW - INV 101</t>
        </is>
      </c>
      <c r="E3" t="inlineStr">
        <is>
          <t>VEL - INV 9998</t>
        </is>
      </c>
      <c r="F3" t="n">
        <v>134458.402</v>
      </c>
      <c r="G3" t="n">
        <v>0</v>
      </c>
      <c r="H3">
        <f>IF(C3="",IF(C3&gt;0,ABS(C3),""),"")</f>
        <v/>
      </c>
      <c r="I3">
        <f>IF(C3="",IF(C3&lt;0,ABS(C3),""),"")</f>
        <v/>
      </c>
    </row>
    <row r="4">
      <c r="A4" s="1" t="n">
        <v>44287</v>
      </c>
      <c r="B4" t="n">
        <v>0</v>
      </c>
      <c r="C4" t="n">
        <v>21846.39666666667</v>
      </c>
      <c r="D4" t="inlineStr">
        <is>
          <t xml:space="preserve"> UWE PMT            </t>
        </is>
      </c>
      <c r="E4" t="inlineStr">
        <is>
          <t>TRE</t>
        </is>
      </c>
      <c r="F4" t="n">
        <v>105735.1586666667</v>
      </c>
      <c r="G4" t="n">
        <v>0</v>
      </c>
      <c r="H4">
        <f>IF(C4="",IF(C4&gt;0,ABS(C4),""),"")</f>
        <v/>
      </c>
      <c r="I4">
        <f>IF(C4="",IF(C4&lt;0,ABS(C4),""),"")</f>
        <v/>
      </c>
    </row>
    <row r="5">
      <c r="A5" s="1" t="n">
        <v>44286</v>
      </c>
      <c r="B5" t="n">
        <v>0</v>
      </c>
      <c r="C5" t="n">
        <v>-6.933333333333334</v>
      </c>
      <c r="D5" t="inlineStr">
        <is>
          <t>RVICE F</t>
        </is>
      </c>
      <c r="E5" t="inlineStr">
        <is>
          <t>                  </t>
        </is>
      </c>
      <c r="F5" t="n">
        <v>83888.762</v>
      </c>
      <c r="G5" t="n">
        <v>0</v>
      </c>
      <c r="H5">
        <f>IF(C5="",IF(C5&gt;0,ABS(C5),""),"")</f>
        <v/>
      </c>
      <c r="I5">
        <f>IF(C5="",IF(C5&lt;0,ABS(C5),""),"")</f>
        <v/>
      </c>
    </row>
    <row r="6">
      <c r="A6" s="1" t="n">
        <v>44286</v>
      </c>
      <c r="B6" t="n">
        <v>0</v>
      </c>
      <c r="C6" t="n">
        <v>3535.258</v>
      </c>
      <c r="D6" t="inlineStr">
        <is>
          <t xml:space="preserve"> UWE PMT            BWQSTPRO - 1 BO</t>
        </is>
      </c>
      <c r="E6" t="inlineStr">
        <is>
          <t xml:space="preserve">ESTPRO - 1 BOWLS  </t>
        </is>
      </c>
      <c r="F6" t="n">
        <v>83895.69533333332</v>
      </c>
      <c r="G6" t="n">
        <v>0</v>
      </c>
      <c r="H6">
        <f>IF(C6="",IF(C6&gt;0,ABS(C6),""),"")</f>
        <v/>
      </c>
      <c r="I6">
        <f>IF(C6="",IF(C6&lt;0,ABS(C6),""),"")</f>
        <v/>
      </c>
    </row>
    <row r="7">
      <c r="A7" s="1" t="n">
        <v>44286</v>
      </c>
      <c r="B7" t="n">
        <v>0</v>
      </c>
      <c r="C7" t="n">
        <v>-18867.39133333333</v>
      </c>
      <c r="D7" t="inlineStr">
        <is>
          <t>SEFQW</t>
        </is>
      </c>
      <c r="E7" t="inlineStr">
        <is>
          <t>DESEF</t>
        </is>
      </c>
      <c r="F7" t="n">
        <v>80360.43733333334</v>
      </c>
      <c r="G7" t="n">
        <v>0</v>
      </c>
      <c r="H7">
        <f>IF(C7="",IF(C7&gt;0,ABS(C7),""),"")</f>
        <v/>
      </c>
      <c r="I7">
        <f>IF(C7="",IF(C7&lt;0,ABS(C7),""),"")</f>
        <v/>
      </c>
    </row>
    <row r="8">
      <c r="A8" s="1" t="n">
        <v>44286</v>
      </c>
      <c r="B8" t="n">
        <v>0</v>
      </c>
      <c r="C8" t="n">
        <v>866.2666666666667</v>
      </c>
      <c r="D8" t="inlineStr">
        <is>
          <t xml:space="preserve"> UWE PMT            MTRVO</t>
        </is>
      </c>
      <c r="E8" t="inlineStr">
        <is>
          <t xml:space="preserve">VYRE  </t>
        </is>
      </c>
      <c r="F8" t="n">
        <v>99227.82866666667</v>
      </c>
      <c r="G8" t="n">
        <v>0</v>
      </c>
      <c r="H8">
        <f>IF(C8="",IF(C8&gt;0,ABS(C8),""),"")</f>
        <v/>
      </c>
      <c r="I8">
        <f>IF(C8="",IF(C8&lt;0,ABS(C8),""),"")</f>
        <v/>
      </c>
    </row>
    <row r="9">
      <c r="A9" s="1" t="n">
        <v>44286</v>
      </c>
      <c r="B9" t="n">
        <v>0</v>
      </c>
      <c r="C9" t="n">
        <v>-11314.198</v>
      </c>
      <c r="D9" t="inlineStr">
        <is>
          <t xml:space="preserve"> UWE UWE00900 BCEINAS-P</t>
        </is>
      </c>
      <c r="E9" t="inlineStr">
        <is>
          <t xml:space="preserve">INAS-PTR      </t>
        </is>
      </c>
      <c r="F9" t="n">
        <v>98361.56199999999</v>
      </c>
      <c r="G9" t="n">
        <v>0</v>
      </c>
      <c r="H9">
        <f>IF(C9="",IF(C9&gt;0,ABS(C9),""),"")</f>
        <v/>
      </c>
      <c r="I9">
        <f>IF(C9="",IF(C9&lt;0,ABS(C9),""),"")</f>
        <v/>
      </c>
    </row>
    <row r="10">
      <c r="A10" s="1" t="n">
        <v>44286</v>
      </c>
      <c r="B10" t="n">
        <v>0</v>
      </c>
      <c r="C10" t="n">
        <v>-54666.12466666666</v>
      </c>
      <c r="D10" t="inlineStr">
        <is>
          <t xml:space="preserve"> UWE UWE00874 BCEINAS-P</t>
        </is>
      </c>
      <c r="E10" t="inlineStr">
        <is>
          <t xml:space="preserve">INAS-PRTR       </t>
        </is>
      </c>
      <c r="F10" t="n">
        <v>109675.76</v>
      </c>
      <c r="G10" t="n">
        <v>0</v>
      </c>
      <c r="H10">
        <f>IF(C10="",IF(C10&gt;0,ABS(C10),""),"")</f>
        <v/>
      </c>
      <c r="I10">
        <f>IF(C10="",IF(C10&lt;0,ABS(C10),""),"")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 User</dc:creator>
  <dcterms:created xsi:type="dcterms:W3CDTF">2021-04-02T06:26:58Z</dcterms:created>
  <dcterms:modified xsi:type="dcterms:W3CDTF">2026-09-06T00:40:49Z</dcterms:modified>
  <cp:lastModifiedBy>Windows User</cp:lastModifiedBy>
</cp:coreProperties>
</file>